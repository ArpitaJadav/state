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wnlow1\"/>
    </mc:Choice>
  </mc:AlternateContent>
  <xr:revisionPtr revIDLastSave="0" documentId="13_ncr:1_{E746160B-D6EA-4047-8A01-4D2BC4B2E18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Q1 - Two Sample Z-Test" sheetId="1" r:id="rId1"/>
    <sheet name="Q2 - Chi-Square Te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C25" i="2" s="1"/>
  <c r="D7" i="2"/>
  <c r="C7" i="2"/>
  <c r="E6" i="2"/>
  <c r="E5" i="2"/>
  <c r="C22" i="1"/>
  <c r="C21" i="1"/>
  <c r="C23" i="1" s="1"/>
  <c r="C20" i="1"/>
  <c r="C19" i="1"/>
  <c r="C18" i="1"/>
  <c r="C17" i="1"/>
  <c r="C16" i="1"/>
  <c r="C15" i="1"/>
  <c r="C24" i="1" l="1"/>
  <c r="E7" i="2"/>
  <c r="C25" i="1"/>
  <c r="B31" i="1" l="1"/>
  <c r="B30" i="1"/>
  <c r="C27" i="1"/>
  <c r="C21" i="2"/>
  <c r="D12" i="2"/>
  <c r="D17" i="2" s="1"/>
  <c r="D11" i="2"/>
  <c r="D16" i="2" s="1"/>
  <c r="C12" i="2"/>
  <c r="C11" i="2"/>
  <c r="C17" i="2" l="1"/>
  <c r="E17" i="2" s="1"/>
  <c r="E12" i="2"/>
  <c r="C26" i="2"/>
  <c r="C16" i="2"/>
  <c r="E11" i="2"/>
  <c r="E16" i="2" l="1"/>
  <c r="C22" i="2"/>
  <c r="B30" i="2" l="1"/>
  <c r="B29" i="2"/>
</calcChain>
</file>

<file path=xl/sharedStrings.xml><?xml version="1.0" encoding="utf-8"?>
<sst xmlns="http://schemas.openxmlformats.org/spreadsheetml/2006/main" count="73" uniqueCount="57">
  <si>
    <t>INPUT DATA</t>
  </si>
  <si>
    <t>Group</t>
  </si>
  <si>
    <t>Mean</t>
  </si>
  <si>
    <t>Std Dev</t>
  </si>
  <si>
    <t>Sample Size</t>
  </si>
  <si>
    <t>Girls</t>
  </si>
  <si>
    <t>Boys</t>
  </si>
  <si>
    <t>HYPOTHESES</t>
  </si>
  <si>
    <t>H₀:</t>
  </si>
  <si>
    <t>Mean_girls = Mean_boys  (No significant difference)</t>
  </si>
  <si>
    <t>H₁:</t>
  </si>
  <si>
    <t>Mean_girls ≠ Mean_boys  (Significant difference exists, Two-tailed)</t>
  </si>
  <si>
    <t>CALCULATIONS</t>
  </si>
  <si>
    <t>Parameter</t>
  </si>
  <si>
    <t>Value</t>
  </si>
  <si>
    <t>Mean Girls (x̄₁)</t>
  </si>
  <si>
    <t>From input data</t>
  </si>
  <si>
    <t>Mean Boys (x̄₂)</t>
  </si>
  <si>
    <t>Std Dev Girls (σ₁)</t>
  </si>
  <si>
    <t>Std Dev Boys (σ₂)</t>
  </si>
  <si>
    <t>n₁ (Girls)</t>
  </si>
  <si>
    <t>n₂ (Boys)</t>
  </si>
  <si>
    <t>σ₁²/n₁</t>
  </si>
  <si>
    <t>Variance / sample size</t>
  </si>
  <si>
    <t>σ₂²/n₂</t>
  </si>
  <si>
    <t>SE (Standard Error)</t>
  </si>
  <si>
    <t>sqrt(σ1²/n1 + σ2²/n2)</t>
  </si>
  <si>
    <t>Difference (x̄₁ - x̄₂)</t>
  </si>
  <si>
    <t>Z-statistic</t>
  </si>
  <si>
    <t>(x̄₁-x̄₂) / SE</t>
  </si>
  <si>
    <t>Critical Value (Z_α/2)</t>
  </si>
  <si>
    <t>Two-tailed, α=0.05</t>
  </si>
  <si>
    <t>p-value (two-tailed)</t>
  </si>
  <si>
    <t>DECISION &amp; CONCLUSION</t>
  </si>
  <si>
    <t>OBSERVED FREQUENCIES</t>
  </si>
  <si>
    <t>Category</t>
  </si>
  <si>
    <t>Cancer</t>
  </si>
  <si>
    <t>No Cancer</t>
  </si>
  <si>
    <t>Row Total</t>
  </si>
  <si>
    <t>Smokers</t>
  </si>
  <si>
    <t>Non-Smokers</t>
  </si>
  <si>
    <t>Column Total</t>
  </si>
  <si>
    <t>EXPECTED FREQUENCIES  =  (Row Total × Col Total) / Grand Total</t>
  </si>
  <si>
    <t>CHI-SQUARE COMPONENTS  (O - E)² / E</t>
  </si>
  <si>
    <t>Row Sum</t>
  </si>
  <si>
    <t>SUMMARY CALCULATIONS</t>
  </si>
  <si>
    <t>Grand Total (N)</t>
  </si>
  <si>
    <t>Chi-Square Statistic (χ²)</t>
  </si>
  <si>
    <t>Sum of all (O-E)^2/E components</t>
  </si>
  <si>
    <t>Degrees of Freedom (df)</t>
  </si>
  <si>
    <t>(rows-1)×(cols-1) = 1×1 = 1</t>
  </si>
  <si>
    <t>Level of Significance (α)</t>
  </si>
  <si>
    <t>5%</t>
  </si>
  <si>
    <t>Critical Value (χ²_crit)</t>
  </si>
  <si>
    <t>p-value</t>
  </si>
  <si>
    <t xml:space="preserve">Question 1 </t>
  </si>
  <si>
    <t xml:space="preserve">Question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</si>
</sst>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4E7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595959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3">
    <border>
      <left/>
      <right/>
      <top/>
      <bottom/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9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7F7F7F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selection activeCell="D15" sqref="D15:F15"/>
    </sheetView>
  </sheetViews>
  <sheetFormatPr defaultColWidth="8.6328125" defaultRowHeight="14.5" x14ac:dyDescent="0.35"/>
  <cols>
    <col min="1" max="1" width="3" customWidth="1"/>
    <col min="2" max="2" width="26" customWidth="1"/>
    <col min="3" max="5" width="14" customWidth="1"/>
    <col min="6" max="6" width="22" customWidth="1"/>
  </cols>
  <sheetData>
    <row r="1" spans="1:6" ht="27.75" customHeight="1" x14ac:dyDescent="0.35">
      <c r="A1" s="8" t="s">
        <v>55</v>
      </c>
      <c r="B1" s="8"/>
      <c r="C1" s="8"/>
      <c r="D1" s="8"/>
      <c r="E1" s="8"/>
      <c r="F1" s="8"/>
    </row>
    <row r="3" spans="1:6" ht="15" customHeight="1" x14ac:dyDescent="0.35">
      <c r="A3" s="7" t="s">
        <v>0</v>
      </c>
      <c r="B3" s="7"/>
      <c r="C3" s="7"/>
      <c r="D3" s="7"/>
      <c r="E3" s="7"/>
      <c r="F3" s="7"/>
    </row>
    <row r="4" spans="1:6" ht="15" customHeight="1" x14ac:dyDescent="0.35">
      <c r="A4" s="9"/>
      <c r="B4" s="9" t="s">
        <v>1</v>
      </c>
      <c r="C4" s="9" t="s">
        <v>2</v>
      </c>
      <c r="D4" s="9" t="s">
        <v>3</v>
      </c>
      <c r="E4" s="9" t="s">
        <v>4</v>
      </c>
      <c r="F4" s="9"/>
    </row>
    <row r="5" spans="1:6" ht="15" customHeight="1" x14ac:dyDescent="0.35">
      <c r="A5" s="10"/>
      <c r="B5" s="11" t="s">
        <v>5</v>
      </c>
      <c r="C5" s="10">
        <v>89</v>
      </c>
      <c r="D5" s="10">
        <v>4</v>
      </c>
      <c r="E5" s="10">
        <v>50</v>
      </c>
      <c r="F5" s="10"/>
    </row>
    <row r="6" spans="1:6" ht="15" customHeight="1" x14ac:dyDescent="0.35">
      <c r="A6" s="10"/>
      <c r="B6" s="11" t="s">
        <v>6</v>
      </c>
      <c r="C6" s="10">
        <v>82</v>
      </c>
      <c r="D6" s="10">
        <v>9</v>
      </c>
      <c r="E6" s="10">
        <v>120</v>
      </c>
      <c r="F6" s="10"/>
    </row>
    <row r="9" spans="1:6" ht="15" customHeight="1" x14ac:dyDescent="0.35">
      <c r="A9" s="7" t="s">
        <v>7</v>
      </c>
      <c r="B9" s="7"/>
      <c r="C9" s="7"/>
      <c r="D9" s="7"/>
      <c r="E9" s="7"/>
      <c r="F9" s="7"/>
    </row>
    <row r="10" spans="1:6" ht="15" customHeight="1" x14ac:dyDescent="0.35">
      <c r="B10" s="11" t="s">
        <v>8</v>
      </c>
      <c r="C10" s="6" t="s">
        <v>9</v>
      </c>
      <c r="D10" s="6"/>
      <c r="E10" s="6"/>
      <c r="F10" s="6"/>
    </row>
    <row r="11" spans="1:6" ht="15" customHeight="1" x14ac:dyDescent="0.35">
      <c r="B11" s="11" t="s">
        <v>10</v>
      </c>
      <c r="C11" s="6" t="s">
        <v>11</v>
      </c>
      <c r="D11" s="6"/>
      <c r="E11" s="6"/>
      <c r="F11" s="6"/>
    </row>
    <row r="13" spans="1:6" ht="15" customHeight="1" x14ac:dyDescent="0.35">
      <c r="A13" s="7" t="s">
        <v>12</v>
      </c>
      <c r="B13" s="7"/>
      <c r="C13" s="7"/>
      <c r="D13" s="7"/>
      <c r="E13" s="7"/>
      <c r="F13" s="7"/>
    </row>
    <row r="14" spans="1:6" ht="15" customHeight="1" x14ac:dyDescent="0.35">
      <c r="A14" s="9"/>
      <c r="B14" s="9" t="s">
        <v>13</v>
      </c>
      <c r="C14" s="9" t="s">
        <v>14</v>
      </c>
      <c r="D14" s="5"/>
      <c r="E14" s="5"/>
      <c r="F14" s="5"/>
    </row>
    <row r="15" spans="1:6" ht="15" customHeight="1" x14ac:dyDescent="0.35">
      <c r="B15" s="12" t="s">
        <v>15</v>
      </c>
      <c r="C15" s="13">
        <f>C5</f>
        <v>89</v>
      </c>
      <c r="D15" s="4" t="s">
        <v>16</v>
      </c>
      <c r="E15" s="4"/>
      <c r="F15" s="4"/>
    </row>
    <row r="16" spans="1:6" ht="15" customHeight="1" x14ac:dyDescent="0.35">
      <c r="B16" s="12" t="s">
        <v>17</v>
      </c>
      <c r="C16" s="13">
        <f>C6</f>
        <v>82</v>
      </c>
      <c r="D16" s="4" t="s">
        <v>16</v>
      </c>
      <c r="E16" s="4"/>
      <c r="F16" s="4"/>
    </row>
    <row r="17" spans="1:6" ht="15" customHeight="1" x14ac:dyDescent="0.35">
      <c r="B17" s="12" t="s">
        <v>18</v>
      </c>
      <c r="C17" s="13">
        <f>D5</f>
        <v>4</v>
      </c>
      <c r="D17" s="4"/>
      <c r="E17" s="4"/>
      <c r="F17" s="4"/>
    </row>
    <row r="18" spans="1:6" ht="15" customHeight="1" x14ac:dyDescent="0.35">
      <c r="B18" s="12" t="s">
        <v>19</v>
      </c>
      <c r="C18" s="13">
        <f>D6</f>
        <v>9</v>
      </c>
      <c r="D18" s="4"/>
      <c r="E18" s="4"/>
      <c r="F18" s="4"/>
    </row>
    <row r="19" spans="1:6" ht="15" customHeight="1" x14ac:dyDescent="0.35">
      <c r="B19" s="12" t="s">
        <v>20</v>
      </c>
      <c r="C19" s="13">
        <f>E5</f>
        <v>50</v>
      </c>
      <c r="D19" s="4"/>
      <c r="E19" s="4"/>
      <c r="F19" s="4"/>
    </row>
    <row r="20" spans="1:6" ht="15" customHeight="1" x14ac:dyDescent="0.35">
      <c r="B20" s="12" t="s">
        <v>21</v>
      </c>
      <c r="C20" s="13">
        <f>E6</f>
        <v>120</v>
      </c>
      <c r="D20" s="4"/>
      <c r="E20" s="4"/>
      <c r="F20" s="4"/>
    </row>
    <row r="21" spans="1:6" ht="15" customHeight="1" x14ac:dyDescent="0.35">
      <c r="B21" s="12" t="s">
        <v>22</v>
      </c>
      <c r="C21" s="13">
        <f>D5^2/E5</f>
        <v>0.32</v>
      </c>
      <c r="D21" s="4" t="s">
        <v>23</v>
      </c>
      <c r="E21" s="4"/>
      <c r="F21" s="4"/>
    </row>
    <row r="22" spans="1:6" ht="15" customHeight="1" x14ac:dyDescent="0.35">
      <c r="B22" s="12" t="s">
        <v>24</v>
      </c>
      <c r="C22" s="13">
        <f>D6^2/E6</f>
        <v>0.67500000000000004</v>
      </c>
      <c r="D22" s="4" t="s">
        <v>23</v>
      </c>
      <c r="E22" s="4"/>
      <c r="F22" s="4"/>
    </row>
    <row r="23" spans="1:6" ht="15" customHeight="1" x14ac:dyDescent="0.35">
      <c r="B23" s="12" t="s">
        <v>25</v>
      </c>
      <c r="C23" s="13">
        <f>SQRT(C21+C22)</f>
        <v>0.99749686716300023</v>
      </c>
      <c r="D23" s="4" t="s">
        <v>26</v>
      </c>
      <c r="E23" s="4"/>
      <c r="F23" s="4"/>
    </row>
    <row r="24" spans="1:6" ht="15" customHeight="1" x14ac:dyDescent="0.35">
      <c r="B24" s="12" t="s">
        <v>27</v>
      </c>
      <c r="C24" s="13">
        <f>C15-C16</f>
        <v>7</v>
      </c>
      <c r="D24" s="4"/>
      <c r="E24" s="4"/>
      <c r="F24" s="4"/>
    </row>
    <row r="25" spans="1:6" ht="15" customHeight="1" x14ac:dyDescent="0.35">
      <c r="B25" s="12" t="s">
        <v>28</v>
      </c>
      <c r="C25" s="13">
        <f>C24/C23</f>
        <v>7.0175658996391963</v>
      </c>
      <c r="D25" s="4" t="s">
        <v>29</v>
      </c>
      <c r="E25" s="4"/>
      <c r="F25" s="4"/>
    </row>
    <row r="26" spans="1:6" ht="15" customHeight="1" x14ac:dyDescent="0.35">
      <c r="B26" s="12" t="s">
        <v>30</v>
      </c>
      <c r="C26" s="14">
        <v>1.96</v>
      </c>
      <c r="D26" s="4" t="s">
        <v>31</v>
      </c>
      <c r="E26" s="4"/>
      <c r="F26" s="4"/>
    </row>
    <row r="27" spans="1:6" ht="15" customHeight="1" x14ac:dyDescent="0.35">
      <c r="B27" s="12" t="s">
        <v>32</v>
      </c>
      <c r="C27" s="13">
        <f>2*(1-NORMSDIST(ABS(C25)))</f>
        <v>2.2577495428777183E-12</v>
      </c>
      <c r="D27" s="4"/>
      <c r="E27" s="4"/>
      <c r="F27" s="4"/>
    </row>
    <row r="29" spans="1:6" ht="15" customHeight="1" x14ac:dyDescent="0.35">
      <c r="A29" s="7" t="s">
        <v>33</v>
      </c>
      <c r="B29" s="7"/>
      <c r="C29" s="7"/>
      <c r="D29" s="7"/>
      <c r="E29" s="7"/>
      <c r="F29" s="7"/>
    </row>
    <row r="30" spans="1:6" ht="30" customHeight="1" x14ac:dyDescent="0.35">
      <c r="B30" s="3" t="str">
        <f>IF(ABS(C25)&gt;C26,"REJECT H0 - Significant difference exists","FAIL TO REJECT H0 - No significant difference")</f>
        <v>REJECT H0 - Significant difference exists</v>
      </c>
      <c r="C30" s="3"/>
      <c r="D30" s="3"/>
      <c r="E30" s="3"/>
      <c r="F30" s="3"/>
    </row>
    <row r="31" spans="1:6" ht="45" customHeight="1" x14ac:dyDescent="0.35">
      <c r="B31" s="2" t="str">
        <f>IF(ABS(C25)&gt;C26,"Since |Z| &gt; 1.96, we REJECT H0. Girls and boys show significantly different intelligence scores at 5% LoS.","Since |Z| &lt;= 1.96, we FAIL TO REJECT H0. No significant difference between groups at 5% LoS.")</f>
        <v>Since |Z| &gt; 1.96, we REJECT H0. Girls and boys show significantly different intelligence scores at 5% LoS.</v>
      </c>
      <c r="C31" s="2"/>
      <c r="D31" s="2"/>
      <c r="E31" s="2"/>
      <c r="F31" s="2"/>
    </row>
  </sheetData>
  <mergeCells count="23">
    <mergeCell ref="D27:F27"/>
    <mergeCell ref="A29:F29"/>
    <mergeCell ref="B30:F30"/>
    <mergeCell ref="B31:F31"/>
    <mergeCell ref="D22:F22"/>
    <mergeCell ref="D23:F23"/>
    <mergeCell ref="D24:F24"/>
    <mergeCell ref="D25:F25"/>
    <mergeCell ref="D26:F26"/>
    <mergeCell ref="D17:F17"/>
    <mergeCell ref="D18:F18"/>
    <mergeCell ref="D19:F19"/>
    <mergeCell ref="D20:F20"/>
    <mergeCell ref="D21:F21"/>
    <mergeCell ref="C11:F11"/>
    <mergeCell ref="A13:F13"/>
    <mergeCell ref="D14:F14"/>
    <mergeCell ref="D15:F15"/>
    <mergeCell ref="D16:F16"/>
    <mergeCell ref="A1:F1"/>
    <mergeCell ref="A3:F3"/>
    <mergeCell ref="A9:F9"/>
    <mergeCell ref="C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A12" zoomScaleNormal="100" workbookViewId="0">
      <selection activeCell="A2" sqref="A2:G2"/>
    </sheetView>
  </sheetViews>
  <sheetFormatPr defaultColWidth="8.6328125" defaultRowHeight="14.5" x14ac:dyDescent="0.35"/>
  <cols>
    <col min="1" max="1" width="3" customWidth="1"/>
    <col min="2" max="2" width="24" customWidth="1"/>
    <col min="3" max="7" width="16" customWidth="1"/>
  </cols>
  <sheetData>
    <row r="1" spans="1:7" ht="27.75" customHeight="1" x14ac:dyDescent="0.35">
      <c r="A1" s="8" t="s">
        <v>56</v>
      </c>
      <c r="B1" s="8"/>
      <c r="C1" s="8"/>
      <c r="D1" s="8"/>
      <c r="E1" s="8"/>
      <c r="F1" s="8"/>
      <c r="G1" s="8"/>
    </row>
    <row r="3" spans="1:7" ht="15" customHeight="1" x14ac:dyDescent="0.35">
      <c r="A3" s="7" t="s">
        <v>34</v>
      </c>
      <c r="B3" s="7"/>
      <c r="C3" s="7"/>
      <c r="D3" s="7"/>
      <c r="E3" s="7"/>
      <c r="F3" s="7"/>
      <c r="G3" s="7"/>
    </row>
    <row r="4" spans="1:7" ht="15" customHeight="1" x14ac:dyDescent="0.35">
      <c r="A4" s="9"/>
      <c r="B4" s="9" t="s">
        <v>35</v>
      </c>
      <c r="C4" s="9" t="s">
        <v>36</v>
      </c>
      <c r="D4" s="9" t="s">
        <v>37</v>
      </c>
      <c r="E4" s="9" t="s">
        <v>38</v>
      </c>
      <c r="F4" s="9"/>
      <c r="G4" s="9"/>
    </row>
    <row r="5" spans="1:7" ht="15" customHeight="1" x14ac:dyDescent="0.35">
      <c r="B5" s="11" t="s">
        <v>39</v>
      </c>
      <c r="C5" s="10">
        <v>220</v>
      </c>
      <c r="D5" s="10">
        <v>230</v>
      </c>
      <c r="E5" s="15">
        <f>C5+D5</f>
        <v>450</v>
      </c>
    </row>
    <row r="6" spans="1:7" ht="15" customHeight="1" x14ac:dyDescent="0.35">
      <c r="B6" s="11" t="s">
        <v>40</v>
      </c>
      <c r="C6" s="10">
        <v>350</v>
      </c>
      <c r="D6" s="10">
        <v>640</v>
      </c>
      <c r="E6" s="15">
        <f>C6+D6</f>
        <v>990</v>
      </c>
    </row>
    <row r="7" spans="1:7" ht="15" customHeight="1" x14ac:dyDescent="0.35">
      <c r="B7" s="9" t="s">
        <v>41</v>
      </c>
      <c r="C7" s="15">
        <f>C5+C6</f>
        <v>570</v>
      </c>
      <c r="D7" s="15">
        <f>D5+D6</f>
        <v>870</v>
      </c>
      <c r="E7" s="15">
        <f>E5+E6</f>
        <v>1440</v>
      </c>
    </row>
    <row r="9" spans="1:7" ht="15" customHeight="1" x14ac:dyDescent="0.35">
      <c r="A9" s="7" t="s">
        <v>42</v>
      </c>
      <c r="B9" s="7"/>
      <c r="C9" s="7"/>
      <c r="D9" s="7"/>
      <c r="E9" s="7"/>
      <c r="F9" s="7"/>
      <c r="G9" s="7"/>
    </row>
    <row r="10" spans="1:7" ht="15" customHeight="1" x14ac:dyDescent="0.35">
      <c r="A10" s="9"/>
      <c r="B10" s="9" t="s">
        <v>35</v>
      </c>
      <c r="C10" s="9" t="s">
        <v>36</v>
      </c>
      <c r="D10" s="9" t="s">
        <v>37</v>
      </c>
      <c r="E10" s="9" t="s">
        <v>38</v>
      </c>
      <c r="F10" s="9"/>
      <c r="G10" s="9"/>
    </row>
    <row r="11" spans="1:7" ht="15" customHeight="1" x14ac:dyDescent="0.35">
      <c r="B11" s="16" t="s">
        <v>39</v>
      </c>
      <c r="C11" s="13">
        <f>E5*C7/$E$7</f>
        <v>178.125</v>
      </c>
      <c r="D11" s="13">
        <f>E5*D7/$E$7</f>
        <v>271.875</v>
      </c>
      <c r="E11" s="13">
        <f>C11+D11</f>
        <v>450</v>
      </c>
    </row>
    <row r="12" spans="1:7" ht="15" customHeight="1" x14ac:dyDescent="0.35">
      <c r="B12" s="16" t="s">
        <v>40</v>
      </c>
      <c r="C12" s="13">
        <f>E6*C7/$E$7</f>
        <v>391.875</v>
      </c>
      <c r="D12" s="13">
        <f>E6*D7/$E$7</f>
        <v>598.125</v>
      </c>
      <c r="E12" s="13">
        <f>C12+D12</f>
        <v>990</v>
      </c>
    </row>
    <row r="14" spans="1:7" ht="15" customHeight="1" x14ac:dyDescent="0.35">
      <c r="A14" s="7" t="s">
        <v>43</v>
      </c>
      <c r="B14" s="7"/>
      <c r="C14" s="7"/>
      <c r="D14" s="7"/>
      <c r="E14" s="7"/>
      <c r="F14" s="7"/>
      <c r="G14" s="7"/>
    </row>
    <row r="15" spans="1:7" ht="15" customHeight="1" x14ac:dyDescent="0.35">
      <c r="A15" s="9"/>
      <c r="B15" s="9" t="s">
        <v>35</v>
      </c>
      <c r="C15" s="9" t="s">
        <v>36</v>
      </c>
      <c r="D15" s="9" t="s">
        <v>37</v>
      </c>
      <c r="E15" s="9" t="s">
        <v>44</v>
      </c>
      <c r="F15" s="9"/>
      <c r="G15" s="9"/>
    </row>
    <row r="16" spans="1:7" ht="15" customHeight="1" x14ac:dyDescent="0.35">
      <c r="B16" s="16" t="s">
        <v>39</v>
      </c>
      <c r="C16" s="13">
        <f>(C5-C11)^2/C11</f>
        <v>9.8442982456140342</v>
      </c>
      <c r="D16" s="13">
        <f>(D5-D11)^2/D11</f>
        <v>6.4497126436781613</v>
      </c>
      <c r="E16" s="13">
        <f>C16+D16</f>
        <v>16.294010889292196</v>
      </c>
    </row>
    <row r="17" spans="1:7" ht="15" customHeight="1" x14ac:dyDescent="0.35">
      <c r="B17" s="16" t="s">
        <v>40</v>
      </c>
      <c r="C17" s="13">
        <f>(C6-C12)^2/C12</f>
        <v>4.4746810207336525</v>
      </c>
      <c r="D17" s="13">
        <f>(D6-D12)^2/D12</f>
        <v>2.931687565308255</v>
      </c>
      <c r="E17" s="13">
        <f>C17+D17</f>
        <v>7.4063685860419071</v>
      </c>
    </row>
    <row r="19" spans="1:7" ht="15" customHeight="1" x14ac:dyDescent="0.35">
      <c r="A19" s="7" t="s">
        <v>45</v>
      </c>
      <c r="B19" s="7"/>
      <c r="C19" s="7"/>
      <c r="D19" s="7"/>
      <c r="E19" s="7"/>
      <c r="F19" s="7"/>
      <c r="G19" s="7"/>
    </row>
    <row r="20" spans="1:7" ht="15" customHeight="1" x14ac:dyDescent="0.35">
      <c r="A20" s="9"/>
      <c r="B20" s="9" t="s">
        <v>13</v>
      </c>
      <c r="C20" s="9" t="s">
        <v>14</v>
      </c>
      <c r="D20" s="5"/>
      <c r="E20" s="5"/>
      <c r="F20" s="5"/>
      <c r="G20" s="5"/>
    </row>
    <row r="21" spans="1:7" ht="15" customHeight="1" x14ac:dyDescent="0.35">
      <c r="B21" s="12" t="s">
        <v>46</v>
      </c>
      <c r="C21" s="13">
        <f>E7</f>
        <v>1440</v>
      </c>
      <c r="D21" s="4"/>
      <c r="E21" s="4"/>
      <c r="F21" s="4"/>
      <c r="G21" s="4"/>
    </row>
    <row r="22" spans="1:7" ht="15" customHeight="1" x14ac:dyDescent="0.35">
      <c r="B22" s="12" t="s">
        <v>47</v>
      </c>
      <c r="C22" s="13">
        <f>C16+C17+D16+D17</f>
        <v>23.700379475334103</v>
      </c>
      <c r="D22" s="4" t="s">
        <v>48</v>
      </c>
      <c r="E22" s="4"/>
      <c r="F22" s="4"/>
      <c r="G22" s="4"/>
    </row>
    <row r="23" spans="1:7" ht="15" customHeight="1" x14ac:dyDescent="0.35">
      <c r="B23" s="12" t="s">
        <v>49</v>
      </c>
      <c r="C23" s="13">
        <f>1</f>
        <v>1</v>
      </c>
      <c r="D23" s="4" t="s">
        <v>50</v>
      </c>
      <c r="E23" s="4"/>
      <c r="F23" s="4"/>
      <c r="G23" s="4"/>
    </row>
    <row r="24" spans="1:7" ht="15" customHeight="1" x14ac:dyDescent="0.35">
      <c r="B24" s="12" t="s">
        <v>51</v>
      </c>
      <c r="C24" s="14">
        <v>0.05</v>
      </c>
      <c r="D24" s="4" t="s">
        <v>52</v>
      </c>
      <c r="E24" s="4"/>
      <c r="F24" s="4"/>
      <c r="G24" s="4"/>
    </row>
    <row r="25" spans="1:7" ht="15" customHeight="1" x14ac:dyDescent="0.35">
      <c r="B25" s="12" t="s">
        <v>53</v>
      </c>
      <c r="C25" s="13">
        <f>CHIINV(C24,C23)</f>
        <v>3.8414588206941236</v>
      </c>
      <c r="D25" s="4"/>
      <c r="E25" s="4"/>
      <c r="F25" s="4"/>
      <c r="G25" s="4"/>
    </row>
    <row r="26" spans="1:7" ht="15" customHeight="1" x14ac:dyDescent="0.35">
      <c r="B26" s="12" t="s">
        <v>54</v>
      </c>
      <c r="C26" s="13">
        <f>CHITEST(C5:D6,C11:D12)</f>
        <v>1.1256033979815032E-6</v>
      </c>
      <c r="D26" s="4"/>
      <c r="E26" s="4"/>
      <c r="F26" s="4"/>
      <c r="G26" s="4"/>
    </row>
    <row r="28" spans="1:7" ht="15" customHeight="1" x14ac:dyDescent="0.35">
      <c r="A28" s="7" t="s">
        <v>33</v>
      </c>
      <c r="B28" s="7"/>
      <c r="C28" s="7"/>
      <c r="D28" s="7"/>
      <c r="E28" s="7"/>
      <c r="F28" s="7"/>
      <c r="G28" s="7"/>
    </row>
    <row r="29" spans="1:7" ht="30" customHeight="1" x14ac:dyDescent="0.35">
      <c r="B29" s="3" t="str">
        <f>IF(C22&gt;C25,"REJECT H0 - Significant association found","FAIL TO REJECT H0 - No significant association")</f>
        <v>REJECT H0 - Significant association found</v>
      </c>
      <c r="C29" s="3"/>
      <c r="D29" s="3"/>
      <c r="E29" s="3"/>
      <c r="F29" s="3"/>
      <c r="G29" s="3"/>
    </row>
    <row r="30" spans="1:7" ht="45" customHeight="1" x14ac:dyDescent="0.35">
      <c r="B30" s="2" t="str">
        <f>IF(C22&gt;C25,"Since chi-square &gt; critical value, we REJECT H0. There IS a significant association between smoking and cancer at 5% LoS.","Since chi-square &lt;= critical value, we FAIL TO REJECT H0. No significant association at 5% LoS.")</f>
        <v>Since chi-square &gt; critical value, we REJECT H0. There IS a significant association between smoking and cancer at 5% LoS.</v>
      </c>
      <c r="C30" s="2"/>
      <c r="D30" s="2"/>
      <c r="E30" s="2"/>
      <c r="F30" s="2"/>
      <c r="G30" s="2"/>
    </row>
    <row r="31" spans="1:7" ht="24.75" customHeight="1" x14ac:dyDescent="0.35">
      <c r="B31" s="1"/>
      <c r="C31" s="1"/>
      <c r="D31" s="1"/>
      <c r="E31" s="1"/>
      <c r="F31" s="1"/>
      <c r="G31" s="1"/>
    </row>
  </sheetData>
  <mergeCells count="16">
    <mergeCell ref="B30:G30"/>
    <mergeCell ref="B31:G31"/>
    <mergeCell ref="D24:G24"/>
    <mergeCell ref="D25:G25"/>
    <mergeCell ref="D26:G26"/>
    <mergeCell ref="A28:G28"/>
    <mergeCell ref="B29:G29"/>
    <mergeCell ref="A19:G19"/>
    <mergeCell ref="D20:G20"/>
    <mergeCell ref="D21:G21"/>
    <mergeCell ref="D22:G22"/>
    <mergeCell ref="D23:G23"/>
    <mergeCell ref="A1:G1"/>
    <mergeCell ref="A3:G3"/>
    <mergeCell ref="A9:G9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Q1 - Two Sample Z-Test</vt:lpstr>
      <vt:lpstr>Q2 - Chi-Square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CAP AJ</cp:lastModifiedBy>
  <cp:revision>0</cp:revision>
  <dcterms:created xsi:type="dcterms:W3CDTF">2026-04-12T18:00:58Z</dcterms:created>
  <dcterms:modified xsi:type="dcterms:W3CDTF">2026-04-12T18:10:56Z</dcterms:modified>
  <dc:language>en-US</dc:language>
</cp:coreProperties>
</file>